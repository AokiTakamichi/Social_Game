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chi\デスクトップ\"/>
    </mc:Choice>
  </mc:AlternateContent>
  <xr:revisionPtr revIDLastSave="0" documentId="13_ncr:1_{87268051-10A4-4D90-98DC-E82DF70334BF}" xr6:coauthVersionLast="47" xr6:coauthVersionMax="47" xr10:uidLastSave="{00000000-0000-0000-0000-000000000000}"/>
  <bookViews>
    <workbookView xWindow="-110" yWindow="-110" windowWidth="21820" windowHeight="14620" activeTab="2" xr2:uid="{00000000-000D-0000-FFFF-FFFF00000000}"/>
  </bookViews>
  <sheets>
    <sheet name="ニート" sheetId="6" r:id="rId1"/>
    <sheet name="宝くじ" sheetId="1" r:id="rId2"/>
    <sheet name="大工" sheetId="4" r:id="rId3"/>
    <sheet name="商人" sheetId="8" r:id="rId4"/>
    <sheet name="騎士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8" l="1"/>
  <c r="D4" i="8"/>
  <c r="C7" i="8"/>
  <c r="G7" i="8" s="1"/>
  <c r="G6" i="8"/>
  <c r="D6" i="8"/>
  <c r="C6" i="8"/>
  <c r="F5" i="8"/>
  <c r="D5" i="8"/>
  <c r="C5" i="8"/>
  <c r="G5" i="8" s="1"/>
  <c r="C4" i="8"/>
  <c r="G4" i="8" s="1"/>
  <c r="D3" i="8"/>
  <c r="C3" i="8"/>
  <c r="G3" i="8" s="1"/>
  <c r="G2" i="8"/>
  <c r="F2" i="8"/>
  <c r="D2" i="8"/>
  <c r="C2" i="8"/>
  <c r="C5" i="6"/>
  <c r="G5" i="6"/>
  <c r="G2" i="6"/>
  <c r="F5" i="6"/>
  <c r="F2" i="6"/>
  <c r="F5" i="2"/>
  <c r="F2" i="2"/>
  <c r="F5" i="4"/>
  <c r="F2" i="4"/>
  <c r="F2" i="1"/>
  <c r="C2" i="6"/>
  <c r="D2" i="6"/>
  <c r="C7" i="6"/>
  <c r="C6" i="6"/>
  <c r="C4" i="6"/>
  <c r="C3" i="6"/>
  <c r="E2" i="4"/>
  <c r="C6" i="4"/>
  <c r="C7" i="4"/>
  <c r="C5" i="4"/>
  <c r="C4" i="4"/>
  <c r="C3" i="4"/>
  <c r="D3" i="4"/>
  <c r="D2" i="4"/>
  <c r="C2" i="4"/>
  <c r="D7" i="2"/>
  <c r="D6" i="2"/>
  <c r="D5" i="2"/>
  <c r="D4" i="2"/>
  <c r="D3" i="2"/>
  <c r="D2" i="2"/>
  <c r="G5" i="4"/>
  <c r="G2" i="4"/>
  <c r="G3" i="2"/>
  <c r="G4" i="2"/>
  <c r="G5" i="2"/>
  <c r="G6" i="2"/>
  <c r="G7" i="2"/>
  <c r="G2" i="2"/>
  <c r="E3" i="2"/>
  <c r="E2" i="2"/>
  <c r="C7" i="2"/>
  <c r="C6" i="2"/>
  <c r="C5" i="2"/>
  <c r="C4" i="2"/>
  <c r="C3" i="2"/>
  <c r="C2" i="2"/>
  <c r="D2" i="1"/>
  <c r="C2" i="1"/>
  <c r="A2" i="1"/>
</calcChain>
</file>

<file path=xl/sharedStrings.xml><?xml version="1.0" encoding="utf-8"?>
<sst xmlns="http://schemas.openxmlformats.org/spreadsheetml/2006/main" count="67" uniqueCount="44">
  <si>
    <t>宝くじ1回の確率</t>
    <rPh sb="0" eb="1">
      <t>タカラ</t>
    </rPh>
    <rPh sb="4" eb="5">
      <t>カイ</t>
    </rPh>
    <rPh sb="6" eb="8">
      <t>カクリツ</t>
    </rPh>
    <phoneticPr fontId="1"/>
  </si>
  <si>
    <t>金額</t>
    <rPh sb="0" eb="2">
      <t>キンガク</t>
    </rPh>
    <phoneticPr fontId="1"/>
  </si>
  <si>
    <t>確率</t>
    <rPh sb="0" eb="2">
      <t>カクリツ</t>
    </rPh>
    <phoneticPr fontId="1"/>
  </si>
  <si>
    <t>行動</t>
    <rPh sb="0" eb="2">
      <t>コウドウ</t>
    </rPh>
    <phoneticPr fontId="1"/>
  </si>
  <si>
    <t>討伐(通常)</t>
    <rPh sb="0" eb="2">
      <t>トウバツ</t>
    </rPh>
    <rPh sb="3" eb="5">
      <t>ツウジョウ</t>
    </rPh>
    <phoneticPr fontId="1"/>
  </si>
  <si>
    <t>護衛(通常)</t>
    <rPh sb="0" eb="2">
      <t>ゴエイ</t>
    </rPh>
    <rPh sb="3" eb="5">
      <t>ツウジョウ</t>
    </rPh>
    <phoneticPr fontId="1"/>
  </si>
  <si>
    <t>見回り(通常)</t>
    <rPh sb="0" eb="2">
      <t>ミマワ</t>
    </rPh>
    <rPh sb="4" eb="6">
      <t>ツウジョウ</t>
    </rPh>
    <phoneticPr fontId="1"/>
  </si>
  <si>
    <t>討伐(上級)</t>
    <rPh sb="0" eb="2">
      <t>トウバツ</t>
    </rPh>
    <rPh sb="3" eb="5">
      <t>ジョウキュウ</t>
    </rPh>
    <phoneticPr fontId="1"/>
  </si>
  <si>
    <t>護衛(上級)</t>
    <rPh sb="0" eb="2">
      <t>ゴエイ</t>
    </rPh>
    <phoneticPr fontId="1"/>
  </si>
  <si>
    <t>見回り(上級)</t>
    <rPh sb="0" eb="2">
      <t>ミマワ</t>
    </rPh>
    <phoneticPr fontId="1"/>
  </si>
  <si>
    <t>模型を売る</t>
    <rPh sb="0" eb="2">
      <t>モケイ</t>
    </rPh>
    <rPh sb="3" eb="4">
      <t>ウ</t>
    </rPh>
    <phoneticPr fontId="1"/>
  </si>
  <si>
    <t>体力消費</t>
    <rPh sb="0" eb="2">
      <t>タイリョク</t>
    </rPh>
    <rPh sb="2" eb="4">
      <t>ショウヒ</t>
    </rPh>
    <phoneticPr fontId="1"/>
  </si>
  <si>
    <t>建築費を半分に</t>
    <rPh sb="0" eb="3">
      <t>ケンチクヒ</t>
    </rPh>
    <rPh sb="4" eb="6">
      <t>ハンブン</t>
    </rPh>
    <phoneticPr fontId="1"/>
  </si>
  <si>
    <t>指定回復</t>
    <rPh sb="0" eb="2">
      <t>シテイ</t>
    </rPh>
    <rPh sb="2" eb="4">
      <t>カイフク</t>
    </rPh>
    <phoneticPr fontId="1"/>
  </si>
  <si>
    <t>建築費を半分に（上級）</t>
    <rPh sb="0" eb="3">
      <t>ケンチクヒ</t>
    </rPh>
    <rPh sb="4" eb="6">
      <t>ハンブン</t>
    </rPh>
    <rPh sb="8" eb="10">
      <t>ジョウキュウ</t>
    </rPh>
    <phoneticPr fontId="1"/>
  </si>
  <si>
    <t>現場監督（上級）</t>
    <rPh sb="0" eb="2">
      <t>ゲンバ</t>
    </rPh>
    <rPh sb="2" eb="4">
      <t>カントク</t>
    </rPh>
    <rPh sb="5" eb="7">
      <t>ジョウキュウ</t>
    </rPh>
    <phoneticPr fontId="1"/>
  </si>
  <si>
    <t>指定回復(上級)</t>
    <rPh sb="0" eb="4">
      <t>シテイカイフク</t>
    </rPh>
    <rPh sb="5" eb="7">
      <t>ジョウキュウ</t>
    </rPh>
    <phoneticPr fontId="1"/>
  </si>
  <si>
    <t>神に祈る(通常)</t>
    <rPh sb="0" eb="1">
      <t>カミ</t>
    </rPh>
    <rPh sb="2" eb="3">
      <t>イノ</t>
    </rPh>
    <rPh sb="5" eb="7">
      <t>ツウジョウ</t>
    </rPh>
    <phoneticPr fontId="1"/>
  </si>
  <si>
    <t>バイト(通常)</t>
    <rPh sb="4" eb="6">
      <t>ツウジョウ</t>
    </rPh>
    <phoneticPr fontId="1"/>
  </si>
  <si>
    <t>お手伝い(通常)</t>
    <rPh sb="1" eb="3">
      <t>テツダ</t>
    </rPh>
    <rPh sb="5" eb="7">
      <t>ツウジョウ</t>
    </rPh>
    <phoneticPr fontId="1"/>
  </si>
  <si>
    <t>神に祈る(上級)</t>
    <rPh sb="0" eb="1">
      <t>カミ</t>
    </rPh>
    <rPh sb="2" eb="3">
      <t>イノ</t>
    </rPh>
    <rPh sb="5" eb="7">
      <t>ジョウキュウ</t>
    </rPh>
    <phoneticPr fontId="1"/>
  </si>
  <si>
    <t>親のすねをかじる(上級)</t>
    <rPh sb="0" eb="1">
      <t>オヤ</t>
    </rPh>
    <phoneticPr fontId="1"/>
  </si>
  <si>
    <t>お手伝い(上級)</t>
    <rPh sb="1" eb="3">
      <t>テツダ</t>
    </rPh>
    <phoneticPr fontId="1"/>
  </si>
  <si>
    <t>収入(1ターンの期待値)</t>
    <rPh sb="0" eb="2">
      <t>シュウニュウ</t>
    </rPh>
    <rPh sb="8" eb="11">
      <t>キタイチ</t>
    </rPh>
    <phoneticPr fontId="1"/>
  </si>
  <si>
    <t>1回あたりの期待値</t>
    <rPh sb="1" eb="2">
      <t>カイ</t>
    </rPh>
    <rPh sb="6" eb="9">
      <t>キタイチ</t>
    </rPh>
    <phoneticPr fontId="1"/>
  </si>
  <si>
    <t>全員が狙う場合</t>
    <rPh sb="0" eb="2">
      <t>ゼンイン</t>
    </rPh>
    <rPh sb="3" eb="4">
      <t>ネラ</t>
    </rPh>
    <rPh sb="5" eb="7">
      <t>バアイ</t>
    </rPh>
    <phoneticPr fontId="1"/>
  </si>
  <si>
    <t>チーム人数</t>
    <rPh sb="3" eb="5">
      <t>ニンズウ</t>
    </rPh>
    <phoneticPr fontId="1"/>
  </si>
  <si>
    <t>宝くじの確率</t>
    <rPh sb="0" eb="1">
      <t>タカラ</t>
    </rPh>
    <rPh sb="4" eb="6">
      <t>カクリツ</t>
    </rPh>
    <phoneticPr fontId="1"/>
  </si>
  <si>
    <t>宝くじの金額</t>
    <rPh sb="0" eb="1">
      <t>タカラ</t>
    </rPh>
    <rPh sb="4" eb="6">
      <t>キンガク</t>
    </rPh>
    <phoneticPr fontId="1"/>
  </si>
  <si>
    <t>所持金1.5倍(通常)</t>
    <rPh sb="0" eb="3">
      <t>ショジキン</t>
    </rPh>
    <rPh sb="6" eb="7">
      <t>バイ</t>
    </rPh>
    <rPh sb="8" eb="10">
      <t>ツウジョウ</t>
    </rPh>
    <phoneticPr fontId="1"/>
  </si>
  <si>
    <t>所持金1.25倍(通常)</t>
    <rPh sb="0" eb="3">
      <t>ショジキン</t>
    </rPh>
    <rPh sb="7" eb="8">
      <t>バイ</t>
    </rPh>
    <rPh sb="9" eb="11">
      <t>ツウジョウ</t>
    </rPh>
    <phoneticPr fontId="1"/>
  </si>
  <si>
    <t>投資(通常)</t>
    <rPh sb="0" eb="2">
      <t>トウシ</t>
    </rPh>
    <rPh sb="3" eb="5">
      <t>ツウジョウ</t>
    </rPh>
    <phoneticPr fontId="1"/>
  </si>
  <si>
    <t>所持金1.5倍(上級)</t>
    <rPh sb="0" eb="3">
      <t>ショジキン</t>
    </rPh>
    <rPh sb="6" eb="7">
      <t>バイ</t>
    </rPh>
    <rPh sb="8" eb="10">
      <t>ジョウキュウ</t>
    </rPh>
    <phoneticPr fontId="1"/>
  </si>
  <si>
    <t>所持金1.25倍(上級)</t>
    <rPh sb="0" eb="3">
      <t>ショジキン</t>
    </rPh>
    <rPh sb="7" eb="8">
      <t>バイ</t>
    </rPh>
    <phoneticPr fontId="1"/>
  </si>
  <si>
    <t>投資(上級)</t>
    <rPh sb="0" eb="2">
      <t>トウシ</t>
    </rPh>
    <phoneticPr fontId="1"/>
  </si>
  <si>
    <t>所持金1.5倍</t>
    <rPh sb="0" eb="3">
      <t>ショジキン</t>
    </rPh>
    <rPh sb="6" eb="7">
      <t>バイ</t>
    </rPh>
    <phoneticPr fontId="1"/>
  </si>
  <si>
    <t>所持金1.25倍</t>
    <phoneticPr fontId="1"/>
  </si>
  <si>
    <t>所持金の半分を失い、2ターン後に3倍になって帰ってくる</t>
    <rPh sb="4" eb="6">
      <t>ハンブン</t>
    </rPh>
    <rPh sb="7" eb="8">
      <t>ウシナ</t>
    </rPh>
    <rPh sb="14" eb="15">
      <t>ゴ</t>
    </rPh>
    <rPh sb="17" eb="18">
      <t>バイ</t>
    </rPh>
    <rPh sb="22" eb="23">
      <t>カエ</t>
    </rPh>
    <phoneticPr fontId="1"/>
  </si>
  <si>
    <t>所持金の半分を失い、2ターン後に3倍になって帰ってくる</t>
    <phoneticPr fontId="1"/>
  </si>
  <si>
    <t>指定された建築費を半分に</t>
  </si>
  <si>
    <t>指定された建築費を半分に</t>
    <rPh sb="0" eb="2">
      <t>シテイ</t>
    </rPh>
    <rPh sb="5" eb="8">
      <t>ケンチクヒ</t>
    </rPh>
    <rPh sb="9" eb="11">
      <t>ハンブン</t>
    </rPh>
    <phoneticPr fontId="1"/>
  </si>
  <si>
    <t>体力回復1</t>
    <rPh sb="0" eb="2">
      <t>タイリョク</t>
    </rPh>
    <rPh sb="2" eb="4">
      <t>カイフク</t>
    </rPh>
    <phoneticPr fontId="1"/>
  </si>
  <si>
    <t>体力回復2</t>
    <rPh sb="0" eb="2">
      <t>タイリョク</t>
    </rPh>
    <rPh sb="2" eb="4">
      <t>カイフク</t>
    </rPh>
    <phoneticPr fontId="1"/>
  </si>
  <si>
    <t>金額等</t>
    <rPh sb="0" eb="2">
      <t>キンガク</t>
    </rPh>
    <rPh sb="2" eb="3">
      <t>トウ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</si>
</sst>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CF739-A258-4031-BCB3-2557A52DFFEB}">
  <dimension ref="A1:G7"/>
  <sheetViews>
    <sheetView workbookViewId="0">
      <selection activeCell="G2" sqref="G2"/>
    </sheetView>
  </sheetViews>
  <sheetFormatPr defaultRowHeight="18"/>
  <sheetData>
    <row r="1" spans="1:7">
      <c r="A1" t="s">
        <v>3</v>
      </c>
      <c r="C1" t="s">
        <v>2</v>
      </c>
      <c r="D1" t="s">
        <v>11</v>
      </c>
      <c r="E1" t="s">
        <v>1</v>
      </c>
      <c r="F1" t="s">
        <v>27</v>
      </c>
      <c r="G1" t="s">
        <v>23</v>
      </c>
    </row>
    <row r="2" spans="1:7">
      <c r="A2" t="s">
        <v>17</v>
      </c>
      <c r="C2">
        <f>2/36</f>
        <v>5.5555555555555552E-2</v>
      </c>
      <c r="D2">
        <f>2</f>
        <v>2</v>
      </c>
      <c r="F2">
        <f>1/6</f>
        <v>0.16666666666666666</v>
      </c>
      <c r="G2">
        <f>($F$5*$F$2)*2*C2/2</f>
        <v>2777.7777777777778</v>
      </c>
    </row>
    <row r="3" spans="1:7">
      <c r="A3" t="s">
        <v>18</v>
      </c>
      <c r="C3">
        <f>1/2</f>
        <v>0.5</v>
      </c>
      <c r="D3">
        <v>6</v>
      </c>
    </row>
    <row r="4" spans="1:7">
      <c r="A4" t="s">
        <v>19</v>
      </c>
      <c r="C4">
        <f>4/6</f>
        <v>0.66666666666666663</v>
      </c>
      <c r="D4">
        <v>6</v>
      </c>
      <c r="F4" t="s">
        <v>28</v>
      </c>
    </row>
    <row r="5" spans="1:7">
      <c r="A5" t="s">
        <v>20</v>
      </c>
      <c r="C5">
        <f>6/36</f>
        <v>0.16666666666666666</v>
      </c>
      <c r="D5">
        <v>2</v>
      </c>
      <c r="F5">
        <f>300000</f>
        <v>300000</v>
      </c>
      <c r="G5">
        <f t="shared" ref="G5" si="0">($F$5*$F$2)*2*C5/2</f>
        <v>8333.3333333333321</v>
      </c>
    </row>
    <row r="6" spans="1:7">
      <c r="A6" t="s">
        <v>21</v>
      </c>
      <c r="C6">
        <f>1/2</f>
        <v>0.5</v>
      </c>
      <c r="D6">
        <v>2</v>
      </c>
    </row>
    <row r="7" spans="1:7">
      <c r="A7" t="s">
        <v>22</v>
      </c>
      <c r="C7">
        <f>4/6</f>
        <v>0.66666666666666663</v>
      </c>
      <c r="D7">
        <v>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workbookViewId="0">
      <selection activeCell="F2" sqref="F2"/>
    </sheetView>
  </sheetViews>
  <sheetFormatPr defaultRowHeight="18"/>
  <sheetData>
    <row r="1" spans="1:6">
      <c r="A1" t="s">
        <v>0</v>
      </c>
      <c r="C1" t="s">
        <v>1</v>
      </c>
      <c r="D1" t="s">
        <v>24</v>
      </c>
      <c r="F1" t="s">
        <v>25</v>
      </c>
    </row>
    <row r="2" spans="1:6">
      <c r="A2">
        <f>1/6</f>
        <v>0.16666666666666666</v>
      </c>
      <c r="C2">
        <f>300000</f>
        <v>300000</v>
      </c>
      <c r="D2">
        <f>A2*C2</f>
        <v>50000</v>
      </c>
      <c r="F2">
        <f>(1-(1-A2)^4)*C2</f>
        <v>155324.07407407404</v>
      </c>
    </row>
    <row r="4" spans="1:6">
      <c r="A4" t="s">
        <v>26</v>
      </c>
    </row>
    <row r="5" spans="1:6">
      <c r="A5">
        <v>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EB31B-312B-47FA-8BED-97AAFE86F80B}">
  <dimension ref="A1:G7"/>
  <sheetViews>
    <sheetView tabSelected="1" workbookViewId="0">
      <selection activeCell="K6" sqref="K6"/>
    </sheetView>
  </sheetViews>
  <sheetFormatPr defaultRowHeight="18"/>
  <sheetData>
    <row r="1" spans="1:7">
      <c r="A1" t="s">
        <v>3</v>
      </c>
      <c r="C1" t="s">
        <v>2</v>
      </c>
      <c r="D1" t="s">
        <v>11</v>
      </c>
      <c r="E1" t="s">
        <v>43</v>
      </c>
      <c r="F1" t="s">
        <v>27</v>
      </c>
      <c r="G1" t="s">
        <v>23</v>
      </c>
    </row>
    <row r="2" spans="1:7">
      <c r="A2" t="s">
        <v>10</v>
      </c>
      <c r="C2">
        <f>3/6</f>
        <v>0.5</v>
      </c>
      <c r="D2">
        <f>1</f>
        <v>1</v>
      </c>
      <c r="E2">
        <f>10000</f>
        <v>10000</v>
      </c>
      <c r="F2">
        <f>1/6</f>
        <v>0.16666666666666666</v>
      </c>
      <c r="G2">
        <f>C2*E2</f>
        <v>5000</v>
      </c>
    </row>
    <row r="3" spans="1:7">
      <c r="A3" t="s">
        <v>12</v>
      </c>
      <c r="C3">
        <f>1/6</f>
        <v>0.16666666666666666</v>
      </c>
      <c r="D3">
        <f>4</f>
        <v>4</v>
      </c>
      <c r="E3" t="s">
        <v>40</v>
      </c>
    </row>
    <row r="4" spans="1:7">
      <c r="A4" t="s">
        <v>13</v>
      </c>
      <c r="C4">
        <f>3/6</f>
        <v>0.5</v>
      </c>
      <c r="D4">
        <v>2</v>
      </c>
      <c r="E4" t="s">
        <v>41</v>
      </c>
      <c r="F4" t="s">
        <v>28</v>
      </c>
    </row>
    <row r="5" spans="1:7">
      <c r="A5" t="s">
        <v>15</v>
      </c>
      <c r="C5">
        <f>3/6</f>
        <v>0.5</v>
      </c>
      <c r="D5">
        <v>3</v>
      </c>
      <c r="E5">
        <v>50000</v>
      </c>
      <c r="F5">
        <f>300000</f>
        <v>300000</v>
      </c>
      <c r="G5">
        <f t="shared" ref="G3:G7" si="0">C5*E5</f>
        <v>25000</v>
      </c>
    </row>
    <row r="6" spans="1:7">
      <c r="A6" t="s">
        <v>14</v>
      </c>
      <c r="C6">
        <f>2/6</f>
        <v>0.33333333333333331</v>
      </c>
      <c r="D6">
        <v>4</v>
      </c>
      <c r="E6" t="s">
        <v>39</v>
      </c>
    </row>
    <row r="7" spans="1:7">
      <c r="A7" t="s">
        <v>16</v>
      </c>
      <c r="C7">
        <f>3/6</f>
        <v>0.5</v>
      </c>
      <c r="D7">
        <v>2</v>
      </c>
      <c r="E7" t="s">
        <v>42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ns1="http://schemas.openxmlformats.org/markup-compatibility/2006" xmlns:ns2="http://schemas.microsoft.com/office/spreadsheetml/2014/revision" ns1:Ignorable="x14ac xr xr2 xr3" ns2:uid="{75107F64-8075-4579-9F36-30D9A5DB9C16}">
  <dimension ref="A1:G7"/>
  <sheetViews>
    <sheetView workbookViewId="0">
      <selection activeCell="E1" sqref="E1"/>
    </sheetView>
  </sheetViews>
  <sheetFormatPr defaultRowHeight="18"/>
  <sheetData>
    <row r="1" spans="1:7">
      <c r="A1" t="s">
        <v>3</v>
      </c>
      <c r="C1" t="s">
        <v>2</v>
      </c>
      <c r="D1" t="s">
        <v>11</v>
      </c>
      <c r="E1" t="s">
        <v>1</v>
      </c>
      <c r="F1" t="s">
        <v>27</v>
      </c>
      <c r="G1" t="s">
        <v>23</v>
      </c>
    </row>
    <row r="2" spans="1:7">
      <c r="A2" t="s">
        <v>29</v>
      </c>
      <c r="C2">
        <f>2/6</f>
        <v>0.1666666667</v>
      </c>
      <c r="D2">
        <f>3</f>
        <v>3</v>
      </c>
      <c r="E2" t="s">
        <v>35</v>
      </c>
      <c r="F2">
        <f>1/6</f>
        <v>0.16666666666666666</v>
      </c>
      <c r="G2" t="e">
        <f>C2*E2</f>
        <v>#VALUE!</v>
      </c>
    </row>
    <row r="3" spans="1:7">
      <c r="A3" t="s">
        <v>30</v>
      </c>
      <c r="C3">
        <f>1/2</f>
        <v>0.5</v>
      </c>
      <c r="D3">
        <f>2</f>
        <v>2</v>
      </c>
      <c r="E3" t="s">
        <v>36</v>
      </c>
      <c r="G3" t="e">
        <f t="shared" ref="G3:G7" si="0">C3*E3</f>
        <v>#VALUE!</v>
      </c>
    </row>
    <row r="4" spans="1:7">
      <c r="A4" t="s">
        <v>31</v>
      </c>
      <c r="C4">
        <f>4/6</f>
        <v>0.3333333333</v>
      </c>
      <c r="D4">
        <f>5</f>
        <v>5</v>
      </c>
      <c r="E4" t="s">
        <v>37</v>
      </c>
      <c r="F4" t="s">
        <v>28</v>
      </c>
      <c r="G4" t="e">
        <f t="shared" si="0"/>
        <v>#VALUE!</v>
      </c>
    </row>
    <row r="5" spans="1:7">
      <c r="A5" t="s">
        <v>32</v>
      </c>
      <c r="C5">
        <f>2/6</f>
        <v>0.3333333333</v>
      </c>
      <c r="D5">
        <f>3</f>
        <v>3</v>
      </c>
      <c r="E5" t="s">
        <v>36</v>
      </c>
      <c r="F5">
        <f>300000</f>
        <v>300000</v>
      </c>
      <c r="G5" t="e">
        <f t="shared" si="0"/>
        <v>#VALUE!</v>
      </c>
    </row>
    <row r="6" spans="1:7">
      <c r="A6" t="s">
        <v>33</v>
      </c>
      <c r="C6">
        <f>1/2</f>
        <v>0.6666666667</v>
      </c>
      <c r="D6">
        <f>2</f>
        <v>2</v>
      </c>
      <c r="E6" t="s">
        <v>36</v>
      </c>
      <c r="G6" t="e">
        <f t="shared" si="0"/>
        <v>#VALUE!</v>
      </c>
    </row>
    <row r="7" spans="1:7">
      <c r="A7" t="s">
        <v>34</v>
      </c>
      <c r="C7">
        <f>4/6</f>
        <v>0.5</v>
      </c>
      <c r="D7">
        <f>5</f>
        <v>5</v>
      </c>
      <c r="E7" t="s">
        <v>38</v>
      </c>
      <c r="G7" t="e">
        <f t="shared" si="0"/>
        <v>#VALUE!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EEB27-0634-4E86-9FE6-0913DB584557}">
  <dimension ref="A1:G7"/>
  <sheetViews>
    <sheetView workbookViewId="0">
      <selection activeCell="E19" sqref="E19"/>
    </sheetView>
  </sheetViews>
  <sheetFormatPr defaultRowHeight="18"/>
  <sheetData>
    <row r="1" spans="1:7">
      <c r="A1" t="s">
        <v>3</v>
      </c>
      <c r="C1" t="s">
        <v>2</v>
      </c>
      <c r="D1" t="s">
        <v>11</v>
      </c>
      <c r="E1" t="s">
        <v>1</v>
      </c>
      <c r="F1" t="s">
        <v>27</v>
      </c>
      <c r="G1" t="s">
        <v>23</v>
      </c>
    </row>
    <row r="2" spans="1:7">
      <c r="A2" t="s">
        <v>4</v>
      </c>
      <c r="C2">
        <f>2/6</f>
        <v>0.33333333333333331</v>
      </c>
      <c r="D2">
        <f>3</f>
        <v>3</v>
      </c>
      <c r="E2">
        <f>40000</f>
        <v>40000</v>
      </c>
      <c r="F2">
        <f>1/6</f>
        <v>0.16666666666666666</v>
      </c>
      <c r="G2">
        <f>C2*E2</f>
        <v>13333.333333333332</v>
      </c>
    </row>
    <row r="3" spans="1:7">
      <c r="A3" t="s">
        <v>5</v>
      </c>
      <c r="C3">
        <f>1/2</f>
        <v>0.5</v>
      </c>
      <c r="D3">
        <f>2</f>
        <v>2</v>
      </c>
      <c r="E3">
        <f>30000</f>
        <v>30000</v>
      </c>
      <c r="G3">
        <f t="shared" ref="G3:G7" si="0">C3*E3</f>
        <v>15000</v>
      </c>
    </row>
    <row r="4" spans="1:7">
      <c r="A4" t="s">
        <v>6</v>
      </c>
      <c r="C4">
        <f>4/6</f>
        <v>0.66666666666666663</v>
      </c>
      <c r="D4">
        <f>1</f>
        <v>1</v>
      </c>
      <c r="E4">
        <v>20000</v>
      </c>
      <c r="F4" t="s">
        <v>28</v>
      </c>
      <c r="G4">
        <f t="shared" si="0"/>
        <v>13333.333333333332</v>
      </c>
    </row>
    <row r="5" spans="1:7">
      <c r="A5" t="s">
        <v>7</v>
      </c>
      <c r="C5">
        <f>2/6</f>
        <v>0.33333333333333331</v>
      </c>
      <c r="D5">
        <f>3</f>
        <v>3</v>
      </c>
      <c r="E5">
        <v>50000</v>
      </c>
      <c r="F5">
        <f>300000</f>
        <v>300000</v>
      </c>
      <c r="G5">
        <f t="shared" si="0"/>
        <v>16666.666666666664</v>
      </c>
    </row>
    <row r="6" spans="1:7">
      <c r="A6" t="s">
        <v>8</v>
      </c>
      <c r="C6">
        <f>1/2</f>
        <v>0.5</v>
      </c>
      <c r="D6">
        <f>2</f>
        <v>2</v>
      </c>
      <c r="E6">
        <v>40000</v>
      </c>
      <c r="G6">
        <f t="shared" si="0"/>
        <v>20000</v>
      </c>
    </row>
    <row r="7" spans="1:7">
      <c r="A7" t="s">
        <v>9</v>
      </c>
      <c r="C7">
        <f>4/6</f>
        <v>0.66666666666666663</v>
      </c>
      <c r="D7">
        <f>1</f>
        <v>1</v>
      </c>
      <c r="E7">
        <v>30000</v>
      </c>
      <c r="G7">
        <f t="shared" si="0"/>
        <v>20000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ニート</vt:lpstr>
      <vt:lpstr>宝くじ</vt:lpstr>
      <vt:lpstr>大工</vt:lpstr>
      <vt:lpstr>商人</vt:lpstr>
      <vt:lpstr>騎士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</dc:creator>
  <cp:lastModifiedBy>a2210003</cp:lastModifiedBy>
  <dcterms:created xsi:type="dcterms:W3CDTF">2015-06-05T18:19:34Z</dcterms:created>
  <dcterms:modified xsi:type="dcterms:W3CDTF">2026-08-28T03:12:10Z</dcterms:modified>
</cp:coreProperties>
</file>